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ithub\BA-Handheld-Fan-Gen2\BA-Handheld-Fan-Gen2\Doc\"/>
    </mc:Choice>
  </mc:AlternateContent>
  <bookViews>
    <workbookView windowHeight="17655"/>
  </bookViews>
  <sheets>
    <sheet name="IO测试记录" sheetId="1" r:id="rId1"/>
    <sheet name="测试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<sst xmlns="http://schemas.openxmlformats.org/spreadsheetml/2006/main" count="416" uniqueCount="229">
  <si>
    <t>PY32F032K1（QFN32）— MCU IO 测试记录表</t>
  </si>
  <si>
    <t>依据用户提供的原理图整理｜待确认项应结合实际外设连接、固件引脚复用和电气规格复核</t>
  </si>
  <si>
    <t>序号</t>
  </si>
  <si>
    <t>芯片脚号</t>
  </si>
  <si>
    <t>MCU 端口</t>
  </si>
  <si>
    <t>网络名称</t>
  </si>
  <si>
    <t>IO 类型</t>
  </si>
  <si>
    <t>模块</t>
  </si>
  <si>
    <t>测试项目 / 操作步骤</t>
  </si>
  <si>
    <t>预期结果 / 判定标准</t>
  </si>
  <si>
    <t>实测电压(V)</t>
  </si>
  <si>
    <t>实测频率(Hz)</t>
  </si>
  <si>
    <t>实测 ADC / 数据</t>
  </si>
  <si>
    <t>测试状态</t>
  </si>
  <si>
    <t>判定</t>
  </si>
  <si>
    <t>测试日期</t>
  </si>
  <si>
    <t>测试人员</t>
  </si>
  <si>
    <t>备注 / 电路说明</t>
  </si>
  <si>
    <t>VCC</t>
  </si>
  <si>
    <t>VBAT</t>
  </si>
  <si>
    <t>电源</t>
  </si>
  <si>
    <t>电源输入</t>
  </si>
  <si>
    <t>测 MCU VCC 对 GND 电压</t>
  </si>
  <si>
    <t>符合设计供电范围</t>
  </si>
  <si>
    <t>\</t>
  </si>
  <si>
    <t>测试完成</t>
  </si>
  <si>
    <t>OK</t>
  </si>
  <si>
    <t>陈亮</t>
  </si>
  <si>
    <t>R36(10Ω)、C23/C24</t>
  </si>
  <si>
    <t>PF0</t>
  </si>
  <si>
    <t>LED1</t>
  </si>
  <si>
    <t>数字输入</t>
  </si>
  <si>
    <t>状态反馈</t>
  </si>
  <si>
    <t>读取 GPIO 高/低，与 LED1 状态对比</t>
  </si>
  <si>
    <t>电平随外部状态变化；逻辑待确认</t>
  </si>
  <si>
    <t/>
  </si>
  <si>
    <t>PF1</t>
  </si>
  <si>
    <t>LED3</t>
  </si>
  <si>
    <t>读取 GPIO 高/低，与 LED3 状态对比</t>
  </si>
  <si>
    <t>PF2-NRST</t>
  </si>
  <si>
    <t>NRST</t>
  </si>
  <si>
    <t>复位</t>
  </si>
  <si>
    <t>复位输入</t>
  </si>
  <si>
    <t>测复位脚空闲电平；短暂拉低检查复位</t>
  </si>
  <si>
    <t>空闲高电平，拉低触发 MCU 复位</t>
  </si>
  <si>
    <t>调试过程中避免误复位</t>
  </si>
  <si>
    <t>PF3</t>
  </si>
  <si>
    <t>KEY</t>
  </si>
  <si>
    <t>数字输出</t>
  </si>
  <si>
    <t>BMS 控制</t>
  </si>
  <si>
    <r>
      <rPr>
        <sz val="11"/>
        <rFont val="宋体"/>
        <charset val="134"/>
      </rPr>
      <t>驱动</t>
    </r>
    <r>
      <rPr>
        <sz val="11"/>
        <rFont val="Carlito"/>
        <charset val="134"/>
      </rPr>
      <t xml:space="preserve"> GPIO </t>
    </r>
    <r>
      <rPr>
        <sz val="11"/>
        <rFont val="宋体"/>
        <charset val="134"/>
      </rPr>
      <t>低</t>
    </r>
    <r>
      <rPr>
        <sz val="11"/>
        <rFont val="Carlito"/>
        <charset val="134"/>
      </rPr>
      <t>→</t>
    </r>
    <r>
      <rPr>
        <sz val="11"/>
        <rFont val="宋体"/>
        <charset val="134"/>
      </rPr>
      <t>高</t>
    </r>
    <r>
      <rPr>
        <sz val="11"/>
        <rFont val="Carlito"/>
        <charset val="134"/>
      </rPr>
      <t>→</t>
    </r>
    <r>
      <rPr>
        <sz val="11"/>
        <rFont val="宋体"/>
        <charset val="134"/>
      </rPr>
      <t>低，测</t>
    </r>
    <r>
      <rPr>
        <sz val="11"/>
        <rFont val="Carlito"/>
        <charset val="134"/>
      </rPr>
      <t xml:space="preserve"> KEY </t>
    </r>
    <r>
      <rPr>
        <sz val="11"/>
        <rFont val="宋体"/>
        <charset val="134"/>
      </rPr>
      <t>网络电平</t>
    </r>
  </si>
  <si>
    <t>随指令切换；高有效按键控制(板级逻辑)</t>
  </si>
  <si>
    <t>连接 USB 板 Q4，注意按键时序</t>
  </si>
  <si>
    <t>PA0</t>
  </si>
  <si>
    <t>MCU_TX</t>
  </si>
  <si>
    <t>串口发送</t>
  </si>
  <si>
    <t>通信</t>
  </si>
  <si>
    <t>发送测试字节，用逻辑分析仪检查波形</t>
  </si>
  <si>
    <t>波特率与帧格式符合配置</t>
  </si>
  <si>
    <t>未测试</t>
  </si>
  <si>
    <t>USART1 TX（以固件配置为准）</t>
  </si>
  <si>
    <t>PA1</t>
  </si>
  <si>
    <t>MCU_RX</t>
  </si>
  <si>
    <t>串口接收</t>
  </si>
  <si>
    <t>外部串口发送测试数据，核对接收值</t>
  </si>
  <si>
    <t>正确接收，无丢字节</t>
  </si>
  <si>
    <t>USART1 RX（以固件配置为准）</t>
  </si>
  <si>
    <t>PA2</t>
  </si>
  <si>
    <t>CTL</t>
  </si>
  <si>
    <t>分别输出 0/1，测 CTL 并记录负载响应</t>
  </si>
  <si>
    <t>输出与配置一致；有效电平待确认</t>
  </si>
  <si>
    <t>谨慎启用外部负载</t>
  </si>
  <si>
    <t>PA3</t>
  </si>
  <si>
    <t>PWM_WH</t>
  </si>
  <si>
    <r>
      <rPr>
        <sz val="11"/>
        <rFont val="Carlito"/>
        <charset val="134"/>
      </rPr>
      <t xml:space="preserve">PWM </t>
    </r>
    <r>
      <rPr>
        <sz val="11"/>
        <rFont val="宋体"/>
        <charset val="134"/>
      </rPr>
      <t>输出</t>
    </r>
  </si>
  <si>
    <t>PWM</t>
  </si>
  <si>
    <t>输出 25%/50%/75% 占空比，示波器测量</t>
  </si>
  <si>
    <t>频率及占空比与设定一致</t>
  </si>
  <si>
    <t>PA4</t>
  </si>
  <si>
    <t>PWM_Motor</t>
  </si>
  <si>
    <t>电机</t>
  </si>
  <si>
    <t>输出电平</t>
  </si>
  <si>
    <t>控制风机PWM GND</t>
  </si>
  <si>
    <t>3.2/0</t>
  </si>
  <si>
    <t>建议先断开/保护电机负载</t>
  </si>
  <si>
    <t>PA5</t>
  </si>
  <si>
    <t>AD_Motor</t>
  </si>
  <si>
    <t>ADC 输入</t>
  </si>
  <si>
    <t>电机电流采样</t>
  </si>
  <si>
    <t>输入可控安全电压，记录 ADC 原始值</t>
  </si>
  <si>
    <t>ADC 单调变化，换算误差符合要求</t>
  </si>
  <si>
    <t>不得超出 ADC 输入范围</t>
  </si>
  <si>
    <t>PA6</t>
  </si>
  <si>
    <t>AD_WH</t>
  </si>
  <si>
    <t>雾化片电流采样</t>
  </si>
  <si>
    <r>
      <rPr>
        <sz val="11"/>
        <rFont val="宋体"/>
        <charset val="134"/>
      </rPr>
      <t>施加两个不同安全电压，核对</t>
    </r>
    <r>
      <rPr>
        <sz val="11"/>
        <rFont val="Carlito"/>
        <charset val="134"/>
      </rPr>
      <t xml:space="preserve"> ADC </t>
    </r>
    <r>
      <rPr>
        <sz val="11"/>
        <rFont val="宋体"/>
        <charset val="134"/>
      </rPr>
      <t>值</t>
    </r>
  </si>
  <si>
    <t>ADC 与实际输入电压一致</t>
  </si>
  <si>
    <t>PA7</t>
  </si>
  <si>
    <t>AD_SW</t>
  </si>
  <si>
    <t>模拟采样</t>
  </si>
  <si>
    <t>操作对应模拟输入，记录 ADC 值</t>
  </si>
  <si>
    <t>ADC 值随输入变化</t>
  </si>
  <si>
    <t>可采集</t>
  </si>
  <si>
    <t>PB0</t>
  </si>
  <si>
    <t>AD_USB</t>
  </si>
  <si>
    <t>USB 采样</t>
  </si>
  <si>
    <t>USB 断开/接入，测 ADC 与分压节点</t>
  </si>
  <si>
    <t>ADC 与实际节点电压一致</t>
  </si>
  <si>
    <t>先确认 USB 分压关系</t>
  </si>
  <si>
    <t>PB1</t>
  </si>
  <si>
    <t>AD_NTC</t>
  </si>
  <si>
    <t>温度采样</t>
  </si>
  <si>
    <t>常温/加热 NTC，检查 ADC 变化</t>
  </si>
  <si>
    <t>趋势符合 NTC 电路与换算公式</t>
  </si>
  <si>
    <t>可采集（温度转换正常）</t>
  </si>
  <si>
    <t>VSS</t>
  </si>
  <si>
    <t>GND</t>
  </si>
  <si>
    <t>地</t>
  </si>
  <si>
    <t>断电测地连通，通电测参考地</t>
  </si>
  <si>
    <t>与系统 GND 连接良好</t>
  </si>
  <si>
    <t>PB2</t>
  </si>
  <si>
    <t>MIST_SW2</t>
  </si>
  <si>
    <t>按键</t>
  </si>
  <si>
    <t>分别按下/松开喷雾键，读取 GPIO</t>
  </si>
  <si>
    <t>按下与松开电平可区分</t>
  </si>
  <si>
    <t>R45(100Ω)、C27(1nF)；默认有效沿待确认</t>
  </si>
  <si>
    <t>PA8</t>
  </si>
  <si>
    <t>FAN_SW1</t>
  </si>
  <si>
    <t>分别按下/松开风扇键，读取 GPIO</t>
  </si>
  <si>
    <t>R44(100Ω)、C28(1nF)；默认有效沿待确认</t>
  </si>
  <si>
    <t>PA9-OSC32O</t>
  </si>
  <si>
    <t>MCU_DIO</t>
  </si>
  <si>
    <t>通信/复用</t>
  </si>
  <si>
    <t>检查 DIO 通信方向及波形</t>
  </si>
  <si>
    <t>与通信协议约定一致</t>
  </si>
  <si>
    <t>确认该引脚复用配置</t>
  </si>
  <si>
    <t>PA10-OSC32I</t>
  </si>
  <si>
    <t>USB_IN</t>
  </si>
  <si>
    <t>USB 检测</t>
  </si>
  <si>
    <t>拔插 USB，记录高/低电平和去抖检测</t>
  </si>
  <si>
    <t>USB 状态正确识别</t>
  </si>
  <si>
    <t>USB_IN 高有效按板级约定核验</t>
  </si>
  <si>
    <t>PA11</t>
  </si>
  <si>
    <t>FG</t>
  </si>
  <si>
    <t>转速反馈</t>
  </si>
  <si>
    <t>旋转电机，使用示波器或捕获测 FG</t>
  </si>
  <si>
    <t>存在符合转速的脉冲信号</t>
  </si>
  <si>
    <t>输入可捕获</t>
  </si>
  <si>
    <t>确认定时器捕获与引脚复用</t>
  </si>
  <si>
    <t>PA12</t>
  </si>
  <si>
    <t>NC/未连接</t>
  </si>
  <si>
    <t>未用</t>
  </si>
  <si>
    <t>预留</t>
  </si>
  <si>
    <t>检查未连接状态及固件配置</t>
  </si>
  <si>
    <t>无意外驱动或异常功耗</t>
  </si>
  <si>
    <t>原理图红叉 NC</t>
  </si>
  <si>
    <t>PA13-SWD</t>
  </si>
  <si>
    <t>SWDIO</t>
  </si>
  <si>
    <t>调试接口</t>
  </si>
  <si>
    <t>下载调试</t>
  </si>
  <si>
    <t>连接下载器，尝试识别芯片和下载</t>
  </si>
  <si>
    <t>SWD 正常通信</t>
  </si>
  <si>
    <t>不要占用为普通输出</t>
  </si>
  <si>
    <t>PA14-SWC</t>
  </si>
  <si>
    <t>SWCLK</t>
  </si>
  <si>
    <t>连接下载器，检查调试时钟/下载</t>
  </si>
  <si>
    <t>PA15</t>
  </si>
  <si>
    <t>DS_VBAT-</t>
  </si>
  <si>
    <t>输出开/关控制，测 DS_VBAT- 电平</t>
  </si>
  <si>
    <t>逻辑切换正确；负载功能待确认</t>
  </si>
  <si>
    <t>与实际驱动电路核对有效电平</t>
  </si>
  <si>
    <t>PB3</t>
  </si>
  <si>
    <t>DS_VBAT+</t>
  </si>
  <si>
    <t>输出开/关控制，测 DS_VBAT+ 电平</t>
  </si>
  <si>
    <t>PB4</t>
  </si>
  <si>
    <t>VBAT_EN</t>
  </si>
  <si>
    <t>输出低/高，测试电池接入路径状态</t>
  </si>
  <si>
    <t>高电平使能（按既有板级定义）</t>
  </si>
  <si>
    <t>高有效；关注充放电路径</t>
  </si>
  <si>
    <t>PB5</t>
  </si>
  <si>
    <t>VIN_EN</t>
  </si>
  <si>
    <t>输出低/高，检查 USB VIN 路径状态</t>
  </si>
  <si>
    <t>高有效；留意反向供电风险</t>
  </si>
  <si>
    <t>PB6</t>
  </si>
  <si>
    <t>PWM 输出</t>
  </si>
  <si>
    <t>输出不同占空比，测 PWM 引脚</t>
  </si>
  <si>
    <t>频率及占空比符合固件配置</t>
  </si>
  <si>
    <r>
      <rPr>
        <sz val="11"/>
        <rFont val="Carlito"/>
        <charset val="134"/>
      </rPr>
      <t>PWM</t>
    </r>
    <r>
      <rPr>
        <sz val="11"/>
        <rFont val="宋体"/>
        <charset val="134"/>
      </rPr>
      <t>可控</t>
    </r>
  </si>
  <si>
    <t>核实复用定时器通道</t>
  </si>
  <si>
    <t>PB7</t>
  </si>
  <si>
    <t>MCU_CLK</t>
  </si>
  <si>
    <t>时钟/通信</t>
  </si>
  <si>
    <t>时钟</t>
  </si>
  <si>
    <t>示波器观察波形及频率</t>
  </si>
  <si>
    <t>与接口协议/时钟配置一致</t>
  </si>
  <si>
    <t>BOOT0</t>
  </si>
  <si>
    <t>启动选择</t>
  </si>
  <si>
    <t>启动</t>
  </si>
  <si>
    <t>复核上拉/下拉及上电启动模式</t>
  </si>
  <si>
    <t>经 R33(10kΩ) 下拉，正常从主 Flash 启动</t>
  </si>
  <si>
    <t>R33 到 GND</t>
  </si>
  <si>
    <t>PB8</t>
  </si>
  <si>
    <t>Standby</t>
  </si>
  <si>
    <t>电源管理</t>
  </si>
  <si>
    <t>控制 Standby 低/高并检查外围状态</t>
  </si>
  <si>
    <t>电平切换正确；使能极性待确认</t>
  </si>
  <si>
    <t>需确认外围连接与安全状态</t>
  </si>
  <si>
    <t>测试使用说明与汇总</t>
  </si>
  <si>
    <t>项目</t>
  </si>
  <si>
    <t>数量</t>
  </si>
  <si>
    <t>IO/管脚总数</t>
  </si>
  <si>
    <t>已通过</t>
  </si>
  <si>
    <t>失败</t>
  </si>
  <si>
    <t>待复测</t>
  </si>
  <si>
    <t>不适用</t>
  </si>
  <si>
    <t>完成率</t>
  </si>
  <si>
    <t>说明</t>
  </si>
  <si>
    <t>操作流程</t>
  </si>
  <si>
    <t>按测试记录表逐管脚核对，填写实测值，再选择测试状态。</t>
  </si>
  <si>
    <t>状态规则</t>
  </si>
  <si>
    <t>通过 / 失败 / 待复测 / 未测试 / 不适用；判定栏自动生成。</t>
  </si>
  <si>
    <t>电气安全</t>
  </si>
  <si>
    <t>输出测试前先确认供电电压、外接负载与上下拉，严禁直接短接电源。</t>
  </si>
  <si>
    <t>PWM/ADC</t>
  </si>
  <si>
    <t>PWM 用示波器记录频率和占空比；ADC 用万用表测节点电压并记录采样值。</t>
  </si>
  <si>
    <t>电源 / NC</t>
  </si>
  <si>
    <t>VCC、VSS、BOOT0、NRST、SWD 和 NC 属专项测试，并非普通 GPIO。</t>
  </si>
  <si>
    <t>待确认项</t>
  </si>
  <si>
    <t>图纸仅反映网络名称；外设功能、电平极性与时序需结合外围原理图和程序确认。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</si>
</sst>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38516E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85A85"/>
        <bgColor indexed="64"/>
      </patternFill>
    </fill>
    <fill>
      <patternFill patternType="solid">
        <fgColor rgb="FFE8F0F9"/>
        <bgColor indexed="64"/>
      </patternFill>
    </fill>
    <fill>
      <patternFill patternType="solid">
        <fgColor rgb="FFFFF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176" fontId="0" fillId="0" borderId="0" xfId="49" applyNumberFormat="1" applyFont="1" applyFill="1" applyBorder="1"/>
    <xf numFmtId="0" fontId="0" fillId="0" borderId="0" xfId="49" applyNumberFormat="1" applyFont="1" applyFill="1" applyBorder="1" applyAlignment="1">
      <alignment wrapText="1"/>
    </xf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center" wrapText="1"/>
    </xf>
    <xf numFmtId="0" fontId="0" fillId="5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14" fontId="0" fillId="5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 wrapText="1"/>
    </xf>
    <xf numFmtId="0" fontId="0" fillId="6" borderId="1" xfId="49" applyNumberFormat="1" applyFont="1" applyFill="1" applyBorder="1" applyAlignment="1">
      <alignment vertical="center" wrapText="1"/>
    </xf>
    <xf numFmtId="0" fontId="0" fillId="6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center" wrapText="1"/>
    </xf>
    <xf numFmtId="0" fontId="4" fillId="6" borderId="1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0" fillId="7" borderId="1" xfId="49" applyNumberFormat="1" applyFont="1" applyFill="1" applyBorder="1" applyAlignment="1">
      <alignment vertical="center" wrapText="1"/>
    </xf>
    <xf numFmtId="0" fontId="0" fillId="7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B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pane ySplit="4" topLeftCell="A5" activePane="bottomLeft" state="frozen"/>
      <selection/>
      <selection pane="bottomLeft" activeCell="K6" sqref="K6"/>
    </sheetView>
  </sheetViews>
  <sheetFormatPr defaultColWidth="9" defaultRowHeight="14.25"/>
  <cols>
    <col min="1" max="1" width="7" customWidth="1"/>
    <col min="2" max="2" width="10" customWidth="1"/>
    <col min="3" max="3" width="18" customWidth="1"/>
    <col min="4" max="4" width="19" customWidth="1"/>
    <col min="5" max="5" width="16" customWidth="1"/>
    <col min="6" max="6" width="13" customWidth="1"/>
    <col min="7" max="7" width="47" customWidth="1"/>
    <col min="8" max="8" width="42" customWidth="1"/>
    <col min="9" max="9" width="14" style="5" customWidth="1"/>
    <col min="10" max="10" width="17" style="5" customWidth="1"/>
    <col min="11" max="11" width="21" style="5" customWidth="1"/>
    <col min="12" max="12" width="13" style="5" customWidth="1"/>
    <col min="13" max="13" width="12" style="5" customWidth="1"/>
    <col min="14" max="14" width="16" style="5" customWidth="1"/>
    <col min="15" max="15" width="15" style="5" customWidth="1"/>
    <col min="16" max="16" width="43" customWidth="1"/>
  </cols>
  <sheetData>
    <row r="1" ht="37" customHeight="1" spans="1:16">
      <c r="A1" s="6" t="s">
        <v>0</v>
      </c>
      <c r="B1" s="6"/>
      <c r="C1" s="6"/>
      <c r="D1" s="6"/>
      <c r="E1" s="6"/>
      <c r="F1" s="6"/>
      <c r="G1" s="6"/>
      <c r="H1" s="6"/>
      <c r="I1" s="7"/>
      <c r="J1" s="7"/>
      <c r="K1" s="7"/>
      <c r="L1" s="7"/>
      <c r="M1" s="7"/>
      <c r="N1" s="7"/>
      <c r="O1" s="7"/>
      <c r="P1" s="6"/>
    </row>
    <row r="2" ht="27" customHeight="1" spans="1:16">
      <c r="A2" s="8" t="s">
        <v>1</v>
      </c>
      <c r="B2" s="8"/>
      <c r="C2" s="8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8"/>
    </row>
    <row r="4" ht="33" customHeight="1" spans="1:1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0" t="s">
        <v>17</v>
      </c>
    </row>
    <row r="5" ht="43" customHeight="1" spans="1:16">
      <c r="A5" s="12">
        <v>1</v>
      </c>
      <c r="B5" s="12">
        <v>1</v>
      </c>
      <c r="C5" s="12" t="s">
        <v>18</v>
      </c>
      <c r="D5" s="12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13" t="s">
        <v>24</v>
      </c>
      <c r="J5" s="13" t="s">
        <v>24</v>
      </c>
      <c r="K5" s="13" t="s">
        <v>24</v>
      </c>
      <c r="L5" s="14" t="s">
        <v>25</v>
      </c>
      <c r="M5" s="15" t="s">
        <v>26</v>
      </c>
      <c r="N5" s="16">
        <v>46313</v>
      </c>
      <c r="O5" s="14" t="s">
        <v>27</v>
      </c>
      <c r="P5" s="12" t="s">
        <v>28</v>
      </c>
    </row>
    <row r="6" ht="43" customHeight="1" spans="1:16">
      <c r="A6" s="12">
        <v>2</v>
      </c>
      <c r="B6" s="12">
        <v>2</v>
      </c>
      <c r="C6" s="12" t="s">
        <v>29</v>
      </c>
      <c r="D6" s="12" t="s">
        <v>30</v>
      </c>
      <c r="E6" s="12" t="s">
        <v>31</v>
      </c>
      <c r="F6" s="12" t="s">
        <v>32</v>
      </c>
      <c r="G6" s="12" t="s">
        <v>33</v>
      </c>
      <c r="H6" s="12" t="s">
        <v>34</v>
      </c>
      <c r="I6" s="13" t="s">
        <v>24</v>
      </c>
      <c r="J6" s="13" t="s">
        <v>24</v>
      </c>
      <c r="K6" s="13" t="s">
        <v>24</v>
      </c>
      <c r="L6" s="14" t="s">
        <v>25</v>
      </c>
      <c r="M6" s="15" t="s">
        <v>26</v>
      </c>
      <c r="N6" s="16">
        <v>46313</v>
      </c>
      <c r="O6" s="14" t="s">
        <v>27</v>
      </c>
      <c r="P6" s="12" t="s">
        <v>35</v>
      </c>
    </row>
    <row r="7" ht="43" customHeight="1" spans="1:16">
      <c r="A7" s="12">
        <v>3</v>
      </c>
      <c r="B7" s="12">
        <v>3</v>
      </c>
      <c r="C7" s="12" t="s">
        <v>36</v>
      </c>
      <c r="D7" s="12" t="s">
        <v>37</v>
      </c>
      <c r="E7" s="12" t="s">
        <v>31</v>
      </c>
      <c r="F7" s="12" t="s">
        <v>32</v>
      </c>
      <c r="G7" s="12" t="s">
        <v>38</v>
      </c>
      <c r="H7" s="12" t="s">
        <v>34</v>
      </c>
      <c r="I7" s="13" t="s">
        <v>24</v>
      </c>
      <c r="J7" s="13" t="s">
        <v>24</v>
      </c>
      <c r="K7" s="13" t="s">
        <v>24</v>
      </c>
      <c r="L7" s="14" t="s">
        <v>25</v>
      </c>
      <c r="M7" s="15" t="s">
        <v>26</v>
      </c>
      <c r="N7" s="16">
        <v>46313</v>
      </c>
      <c r="O7" s="14" t="s">
        <v>27</v>
      </c>
      <c r="P7" s="12" t="s">
        <v>35</v>
      </c>
    </row>
    <row r="8" ht="43" customHeight="1" spans="1:16">
      <c r="A8" s="12">
        <v>4</v>
      </c>
      <c r="B8" s="12">
        <v>4</v>
      </c>
      <c r="C8" s="12" t="s">
        <v>39</v>
      </c>
      <c r="D8" s="12" t="s">
        <v>40</v>
      </c>
      <c r="E8" s="12" t="s">
        <v>41</v>
      </c>
      <c r="F8" s="12" t="s">
        <v>42</v>
      </c>
      <c r="G8" s="12" t="s">
        <v>43</v>
      </c>
      <c r="H8" s="12" t="s">
        <v>44</v>
      </c>
      <c r="I8" s="13" t="s">
        <v>24</v>
      </c>
      <c r="J8" s="13" t="s">
        <v>24</v>
      </c>
      <c r="K8" s="13" t="s">
        <v>24</v>
      </c>
      <c r="L8" s="14" t="s">
        <v>25</v>
      </c>
      <c r="M8" s="15" t="s">
        <v>26</v>
      </c>
      <c r="N8" s="16">
        <v>46313</v>
      </c>
      <c r="O8" s="14" t="s">
        <v>27</v>
      </c>
      <c r="P8" s="12" t="s">
        <v>45</v>
      </c>
    </row>
    <row r="9" ht="43" customHeight="1" spans="1:16">
      <c r="A9" s="12">
        <v>5</v>
      </c>
      <c r="B9" s="12">
        <v>5</v>
      </c>
      <c r="C9" s="12" t="s">
        <v>46</v>
      </c>
      <c r="D9" s="12" t="s">
        <v>47</v>
      </c>
      <c r="E9" s="12" t="s">
        <v>48</v>
      </c>
      <c r="F9" s="12" t="s">
        <v>49</v>
      </c>
      <c r="G9" s="17" t="s">
        <v>50</v>
      </c>
      <c r="H9" s="12" t="s">
        <v>51</v>
      </c>
      <c r="I9" s="13" t="s">
        <v>24</v>
      </c>
      <c r="J9" s="13" t="s">
        <v>24</v>
      </c>
      <c r="K9" s="13" t="s">
        <v>24</v>
      </c>
      <c r="L9" s="14" t="s">
        <v>25</v>
      </c>
      <c r="M9" s="15" t="s">
        <v>26</v>
      </c>
      <c r="N9" s="16">
        <v>46313</v>
      </c>
      <c r="O9" s="14" t="s">
        <v>27</v>
      </c>
      <c r="P9" s="12" t="s">
        <v>52</v>
      </c>
    </row>
    <row r="10" ht="43" customHeight="1" spans="1:16">
      <c r="A10" s="18">
        <v>6</v>
      </c>
      <c r="B10" s="18">
        <v>6</v>
      </c>
      <c r="C10" s="18" t="s">
        <v>53</v>
      </c>
      <c r="D10" s="18" t="s">
        <v>54</v>
      </c>
      <c r="E10" s="18" t="s">
        <v>55</v>
      </c>
      <c r="F10" s="18" t="s">
        <v>56</v>
      </c>
      <c r="G10" s="18" t="s">
        <v>57</v>
      </c>
      <c r="H10" s="18" t="s">
        <v>58</v>
      </c>
      <c r="I10" s="19"/>
      <c r="J10" s="19"/>
      <c r="K10" s="19"/>
      <c r="L10" s="19" t="s">
        <v>59</v>
      </c>
      <c r="M10" s="19" t="str">
        <f xml:space="preserve">IF(L10="未测试","",IF(L10="通过","PASS",IF(L10="失败","FAIL","待复测")))</f>
        <v/>
      </c>
      <c r="N10" s="16">
        <v>46313</v>
      </c>
      <c r="O10" s="14" t="s">
        <v>27</v>
      </c>
      <c r="P10" s="12" t="s">
        <v>60</v>
      </c>
    </row>
    <row r="11" ht="43" customHeight="1" spans="1:16">
      <c r="A11" s="18">
        <v>7</v>
      </c>
      <c r="B11" s="18">
        <v>7</v>
      </c>
      <c r="C11" s="18" t="s">
        <v>61</v>
      </c>
      <c r="D11" s="18" t="s">
        <v>62</v>
      </c>
      <c r="E11" s="18" t="s">
        <v>63</v>
      </c>
      <c r="F11" s="18" t="s">
        <v>56</v>
      </c>
      <c r="G11" s="18" t="s">
        <v>64</v>
      </c>
      <c r="H11" s="18" t="s">
        <v>65</v>
      </c>
      <c r="I11" s="19"/>
      <c r="J11" s="19"/>
      <c r="K11" s="19"/>
      <c r="L11" s="19" t="s">
        <v>59</v>
      </c>
      <c r="M11" s="19" t="str">
        <f xml:space="preserve">IF(L11="未测试","",IF(L11="通过","PASS",IF(L11="失败","FAIL","待复测")))</f>
        <v/>
      </c>
      <c r="N11" s="16">
        <v>46313</v>
      </c>
      <c r="O11" s="14" t="s">
        <v>27</v>
      </c>
      <c r="P11" s="12" t="s">
        <v>66</v>
      </c>
    </row>
    <row r="12" ht="43" customHeight="1" spans="1:16">
      <c r="A12" s="12">
        <v>8</v>
      </c>
      <c r="B12" s="12">
        <v>8</v>
      </c>
      <c r="C12" s="12" t="s">
        <v>67</v>
      </c>
      <c r="D12" s="12" t="s">
        <v>68</v>
      </c>
      <c r="E12" s="12" t="s">
        <v>48</v>
      </c>
      <c r="F12" s="12" t="s">
        <v>49</v>
      </c>
      <c r="G12" s="12" t="s">
        <v>69</v>
      </c>
      <c r="H12" s="12" t="s">
        <v>70</v>
      </c>
      <c r="I12" s="13" t="s">
        <v>24</v>
      </c>
      <c r="J12" s="13" t="s">
        <v>24</v>
      </c>
      <c r="K12" s="13" t="s">
        <v>24</v>
      </c>
      <c r="L12" s="14" t="s">
        <v>25</v>
      </c>
      <c r="M12" s="15" t="s">
        <v>26</v>
      </c>
      <c r="N12" s="16">
        <v>46313</v>
      </c>
      <c r="O12" s="14" t="s">
        <v>27</v>
      </c>
      <c r="P12" s="12" t="s">
        <v>71</v>
      </c>
    </row>
    <row r="13" ht="43" customHeight="1" spans="1:16">
      <c r="A13" s="20">
        <v>9</v>
      </c>
      <c r="B13" s="20">
        <v>9</v>
      </c>
      <c r="C13" s="20" t="s">
        <v>72</v>
      </c>
      <c r="D13" s="20" t="s">
        <v>73</v>
      </c>
      <c r="E13" s="20" t="s">
        <v>74</v>
      </c>
      <c r="F13" s="20" t="s">
        <v>75</v>
      </c>
      <c r="G13" s="20" t="s">
        <v>76</v>
      </c>
      <c r="H13" s="20" t="s">
        <v>77</v>
      </c>
      <c r="I13" s="13" t="s">
        <v>24</v>
      </c>
      <c r="J13" s="13" t="s">
        <v>24</v>
      </c>
      <c r="K13" s="13" t="s">
        <v>24</v>
      </c>
      <c r="L13" s="14" t="s">
        <v>25</v>
      </c>
      <c r="M13" s="15" t="s">
        <v>26</v>
      </c>
      <c r="N13" s="16">
        <v>46313</v>
      </c>
      <c r="O13" s="14" t="s">
        <v>27</v>
      </c>
      <c r="P13" s="12" t="s">
        <v>35</v>
      </c>
    </row>
    <row r="14" ht="43" customHeight="1" spans="1:16">
      <c r="A14" s="12">
        <v>10</v>
      </c>
      <c r="B14" s="12">
        <v>10</v>
      </c>
      <c r="C14" s="12" t="s">
        <v>78</v>
      </c>
      <c r="D14" s="12" t="s">
        <v>79</v>
      </c>
      <c r="E14" s="12" t="s">
        <v>48</v>
      </c>
      <c r="F14" s="12" t="s">
        <v>80</v>
      </c>
      <c r="G14" s="17" t="s">
        <v>81</v>
      </c>
      <c r="H14" s="17" t="s">
        <v>82</v>
      </c>
      <c r="I14" s="13" t="s">
        <v>83</v>
      </c>
      <c r="J14" s="13" t="s">
        <v>24</v>
      </c>
      <c r="K14" s="13" t="s">
        <v>24</v>
      </c>
      <c r="L14" s="14" t="s">
        <v>25</v>
      </c>
      <c r="M14" s="15" t="s">
        <v>26</v>
      </c>
      <c r="N14" s="16">
        <v>46313</v>
      </c>
      <c r="O14" s="14" t="s">
        <v>27</v>
      </c>
      <c r="P14" s="12" t="s">
        <v>84</v>
      </c>
    </row>
    <row r="15" ht="43" customHeight="1" spans="1:16">
      <c r="A15" s="18">
        <v>11</v>
      </c>
      <c r="B15" s="18">
        <v>11</v>
      </c>
      <c r="C15" s="18" t="s">
        <v>85</v>
      </c>
      <c r="D15" s="18" t="s">
        <v>86</v>
      </c>
      <c r="E15" s="18" t="s">
        <v>87</v>
      </c>
      <c r="F15" s="21" t="s">
        <v>88</v>
      </c>
      <c r="G15" s="18" t="s">
        <v>89</v>
      </c>
      <c r="H15" s="18" t="s">
        <v>90</v>
      </c>
      <c r="I15" s="19"/>
      <c r="J15" s="19"/>
      <c r="K15" s="19"/>
      <c r="L15" s="19" t="s">
        <v>59</v>
      </c>
      <c r="M15" s="19" t="str">
        <f xml:space="preserve">IF(L15="未测试","",IF(L15="通过","PASS",IF(L15="失败","FAIL","待复测")))</f>
        <v/>
      </c>
      <c r="N15" s="16">
        <v>46313</v>
      </c>
      <c r="O15" s="14" t="s">
        <v>27</v>
      </c>
      <c r="P15" s="12" t="s">
        <v>91</v>
      </c>
    </row>
    <row r="16" ht="43" customHeight="1" spans="1:16">
      <c r="A16" s="18">
        <v>12</v>
      </c>
      <c r="B16" s="18">
        <v>12</v>
      </c>
      <c r="C16" s="18" t="s">
        <v>92</v>
      </c>
      <c r="D16" s="18" t="s">
        <v>93</v>
      </c>
      <c r="E16" s="18" t="s">
        <v>87</v>
      </c>
      <c r="F16" s="21" t="s">
        <v>94</v>
      </c>
      <c r="G16" s="21" t="s">
        <v>95</v>
      </c>
      <c r="H16" s="18" t="s">
        <v>96</v>
      </c>
      <c r="I16" s="19"/>
      <c r="J16" s="19"/>
      <c r="K16" s="19"/>
      <c r="L16" s="19" t="s">
        <v>59</v>
      </c>
      <c r="M16" s="19" t="str">
        <f xml:space="preserve">IF(L16="未测试","",IF(L16="通过","PASS",IF(L16="失败","FAIL","待复测")))</f>
        <v/>
      </c>
      <c r="N16" s="16">
        <v>46313</v>
      </c>
      <c r="O16" s="14" t="s">
        <v>27</v>
      </c>
      <c r="P16" s="12" t="s">
        <v>35</v>
      </c>
    </row>
    <row r="17" ht="43" customHeight="1" spans="1:16">
      <c r="A17" s="12">
        <v>13</v>
      </c>
      <c r="B17" s="12">
        <v>13</v>
      </c>
      <c r="C17" s="12" t="s">
        <v>97</v>
      </c>
      <c r="D17" s="12" t="s">
        <v>98</v>
      </c>
      <c r="E17" s="12" t="s">
        <v>87</v>
      </c>
      <c r="F17" s="12" t="s">
        <v>99</v>
      </c>
      <c r="G17" s="12" t="s">
        <v>100</v>
      </c>
      <c r="H17" s="12" t="s">
        <v>101</v>
      </c>
      <c r="I17" s="13" t="s">
        <v>24</v>
      </c>
      <c r="J17" s="13" t="s">
        <v>24</v>
      </c>
      <c r="K17" s="13" t="s">
        <v>24</v>
      </c>
      <c r="L17" s="14" t="s">
        <v>25</v>
      </c>
      <c r="M17" s="22" t="s">
        <v>102</v>
      </c>
      <c r="N17" s="16">
        <v>46313</v>
      </c>
      <c r="O17" s="14" t="s">
        <v>27</v>
      </c>
      <c r="P17" s="12" t="s">
        <v>35</v>
      </c>
    </row>
    <row r="18" ht="43" customHeight="1" spans="1:16">
      <c r="A18" s="12">
        <v>14</v>
      </c>
      <c r="B18" s="12">
        <v>14</v>
      </c>
      <c r="C18" s="12" t="s">
        <v>103</v>
      </c>
      <c r="D18" s="12" t="s">
        <v>104</v>
      </c>
      <c r="E18" s="12" t="s">
        <v>87</v>
      </c>
      <c r="F18" s="12" t="s">
        <v>105</v>
      </c>
      <c r="G18" s="12" t="s">
        <v>106</v>
      </c>
      <c r="H18" s="12" t="s">
        <v>107</v>
      </c>
      <c r="I18" s="13" t="s">
        <v>24</v>
      </c>
      <c r="J18" s="13" t="s">
        <v>24</v>
      </c>
      <c r="K18" s="13" t="s">
        <v>24</v>
      </c>
      <c r="L18" s="14" t="s">
        <v>25</v>
      </c>
      <c r="M18" s="22" t="s">
        <v>102</v>
      </c>
      <c r="N18" s="16">
        <v>46313</v>
      </c>
      <c r="O18" s="14" t="s">
        <v>27</v>
      </c>
      <c r="P18" s="12" t="s">
        <v>108</v>
      </c>
    </row>
    <row r="19" ht="43" customHeight="1" spans="1:16">
      <c r="A19" s="12">
        <v>15</v>
      </c>
      <c r="B19" s="12">
        <v>15</v>
      </c>
      <c r="C19" s="12" t="s">
        <v>109</v>
      </c>
      <c r="D19" s="12" t="s">
        <v>110</v>
      </c>
      <c r="E19" s="12" t="s">
        <v>87</v>
      </c>
      <c r="F19" s="12" t="s">
        <v>111</v>
      </c>
      <c r="G19" s="12" t="s">
        <v>112</v>
      </c>
      <c r="H19" s="12" t="s">
        <v>113</v>
      </c>
      <c r="I19" s="13" t="s">
        <v>24</v>
      </c>
      <c r="J19" s="13" t="s">
        <v>24</v>
      </c>
      <c r="K19" s="13" t="s">
        <v>24</v>
      </c>
      <c r="L19" s="14" t="s">
        <v>25</v>
      </c>
      <c r="M19" s="22" t="s">
        <v>114</v>
      </c>
      <c r="N19" s="16">
        <v>46313</v>
      </c>
      <c r="O19" s="14" t="s">
        <v>27</v>
      </c>
      <c r="P19" s="12" t="s">
        <v>35</v>
      </c>
    </row>
    <row r="20" ht="43" customHeight="1" spans="1:16">
      <c r="A20" s="12">
        <v>16</v>
      </c>
      <c r="B20" s="12">
        <v>16</v>
      </c>
      <c r="C20" s="12" t="s">
        <v>115</v>
      </c>
      <c r="D20" s="12" t="s">
        <v>116</v>
      </c>
      <c r="E20" s="12" t="s">
        <v>117</v>
      </c>
      <c r="F20" s="12" t="s">
        <v>20</v>
      </c>
      <c r="G20" s="12" t="s">
        <v>118</v>
      </c>
      <c r="H20" s="12" t="s">
        <v>119</v>
      </c>
      <c r="I20" s="13" t="s">
        <v>24</v>
      </c>
      <c r="J20" s="13" t="s">
        <v>24</v>
      </c>
      <c r="K20" s="13" t="s">
        <v>24</v>
      </c>
      <c r="L20" s="13" t="s">
        <v>59</v>
      </c>
      <c r="M20" s="15" t="s">
        <v>26</v>
      </c>
      <c r="N20" s="16">
        <v>46313</v>
      </c>
      <c r="O20" s="14" t="s">
        <v>27</v>
      </c>
      <c r="P20" s="12" t="s">
        <v>35</v>
      </c>
    </row>
    <row r="21" ht="43" customHeight="1" spans="1:16">
      <c r="A21" s="12">
        <v>17</v>
      </c>
      <c r="B21" s="12">
        <v>17</v>
      </c>
      <c r="C21" s="12" t="s">
        <v>120</v>
      </c>
      <c r="D21" s="12" t="s">
        <v>121</v>
      </c>
      <c r="E21" s="12" t="s">
        <v>31</v>
      </c>
      <c r="F21" s="12" t="s">
        <v>122</v>
      </c>
      <c r="G21" s="12" t="s">
        <v>123</v>
      </c>
      <c r="H21" s="12" t="s">
        <v>124</v>
      </c>
      <c r="I21" s="13">
        <v>3.2</v>
      </c>
      <c r="J21" s="13" t="s">
        <v>24</v>
      </c>
      <c r="K21" s="13" t="s">
        <v>24</v>
      </c>
      <c r="L21" s="14" t="s">
        <v>25</v>
      </c>
      <c r="M21" s="15" t="s">
        <v>26</v>
      </c>
      <c r="N21" s="16">
        <v>46313</v>
      </c>
      <c r="O21" s="14" t="s">
        <v>27</v>
      </c>
      <c r="P21" s="12" t="s">
        <v>125</v>
      </c>
    </row>
    <row r="22" ht="43" customHeight="1" spans="1:16">
      <c r="A22" s="12">
        <v>18</v>
      </c>
      <c r="B22" s="12">
        <v>18</v>
      </c>
      <c r="C22" s="12" t="s">
        <v>126</v>
      </c>
      <c r="D22" s="12" t="s">
        <v>127</v>
      </c>
      <c r="E22" s="12" t="s">
        <v>31</v>
      </c>
      <c r="F22" s="12" t="s">
        <v>122</v>
      </c>
      <c r="G22" s="12" t="s">
        <v>128</v>
      </c>
      <c r="H22" s="12" t="s">
        <v>124</v>
      </c>
      <c r="I22" s="13">
        <v>3.2</v>
      </c>
      <c r="J22" s="13" t="s">
        <v>24</v>
      </c>
      <c r="K22" s="13" t="s">
        <v>24</v>
      </c>
      <c r="L22" s="14" t="s">
        <v>25</v>
      </c>
      <c r="M22" s="15" t="s">
        <v>26</v>
      </c>
      <c r="N22" s="16">
        <v>46313</v>
      </c>
      <c r="O22" s="14" t="s">
        <v>27</v>
      </c>
      <c r="P22" s="12" t="s">
        <v>129</v>
      </c>
    </row>
    <row r="23" ht="43" customHeight="1" spans="1:16">
      <c r="A23" s="12">
        <v>19</v>
      </c>
      <c r="B23" s="12">
        <v>19</v>
      </c>
      <c r="C23" s="12" t="s">
        <v>130</v>
      </c>
      <c r="D23" s="12" t="s">
        <v>131</v>
      </c>
      <c r="E23" s="12" t="s">
        <v>132</v>
      </c>
      <c r="F23" s="12" t="s">
        <v>56</v>
      </c>
      <c r="G23" s="12" t="s">
        <v>133</v>
      </c>
      <c r="H23" s="12" t="s">
        <v>134</v>
      </c>
      <c r="I23" s="13" t="s">
        <v>24</v>
      </c>
      <c r="J23" s="13" t="s">
        <v>24</v>
      </c>
      <c r="K23" s="13" t="s">
        <v>24</v>
      </c>
      <c r="L23" s="14" t="s">
        <v>25</v>
      </c>
      <c r="M23" s="15" t="s">
        <v>26</v>
      </c>
      <c r="N23" s="16">
        <v>46313</v>
      </c>
      <c r="O23" s="14" t="s">
        <v>27</v>
      </c>
      <c r="P23" s="12" t="s">
        <v>135</v>
      </c>
    </row>
    <row r="24" ht="43" customHeight="1" spans="1:16">
      <c r="A24" s="12">
        <v>20</v>
      </c>
      <c r="B24" s="12">
        <v>20</v>
      </c>
      <c r="C24" s="12" t="s">
        <v>136</v>
      </c>
      <c r="D24" s="12" t="s">
        <v>137</v>
      </c>
      <c r="E24" s="12" t="s">
        <v>31</v>
      </c>
      <c r="F24" s="12" t="s">
        <v>138</v>
      </c>
      <c r="G24" s="12" t="s">
        <v>139</v>
      </c>
      <c r="H24" s="12" t="s">
        <v>140</v>
      </c>
      <c r="I24" s="13" t="s">
        <v>24</v>
      </c>
      <c r="J24" s="13" t="s">
        <v>24</v>
      </c>
      <c r="K24" s="13" t="s">
        <v>24</v>
      </c>
      <c r="L24" s="14" t="s">
        <v>25</v>
      </c>
      <c r="M24" s="15" t="s">
        <v>26</v>
      </c>
      <c r="N24" s="16">
        <v>46313</v>
      </c>
      <c r="O24" s="14" t="s">
        <v>27</v>
      </c>
      <c r="P24" s="12" t="s">
        <v>141</v>
      </c>
    </row>
    <row r="25" ht="43" customHeight="1" spans="1:16">
      <c r="A25" s="12">
        <v>21</v>
      </c>
      <c r="B25" s="12">
        <v>21</v>
      </c>
      <c r="C25" s="12" t="s">
        <v>142</v>
      </c>
      <c r="D25" s="12" t="s">
        <v>143</v>
      </c>
      <c r="E25" s="12" t="s">
        <v>31</v>
      </c>
      <c r="F25" s="12" t="s">
        <v>144</v>
      </c>
      <c r="G25" s="12" t="s">
        <v>145</v>
      </c>
      <c r="H25" s="12" t="s">
        <v>146</v>
      </c>
      <c r="I25" s="13" t="s">
        <v>24</v>
      </c>
      <c r="J25" s="13" t="s">
        <v>24</v>
      </c>
      <c r="K25" s="13" t="s">
        <v>24</v>
      </c>
      <c r="L25" s="14" t="s">
        <v>25</v>
      </c>
      <c r="M25" s="22" t="s">
        <v>147</v>
      </c>
      <c r="N25" s="16">
        <v>46313</v>
      </c>
      <c r="O25" s="14" t="s">
        <v>27</v>
      </c>
      <c r="P25" s="12" t="s">
        <v>148</v>
      </c>
    </row>
    <row r="26" ht="43" customHeight="1" spans="1:16">
      <c r="A26" s="23">
        <v>22</v>
      </c>
      <c r="B26" s="23">
        <v>22</v>
      </c>
      <c r="C26" s="23" t="s">
        <v>149</v>
      </c>
      <c r="D26" s="23" t="s">
        <v>150</v>
      </c>
      <c r="E26" s="23" t="s">
        <v>151</v>
      </c>
      <c r="F26" s="23" t="s">
        <v>152</v>
      </c>
      <c r="G26" s="23" t="s">
        <v>153</v>
      </c>
      <c r="H26" s="23" t="s">
        <v>154</v>
      </c>
      <c r="I26" s="24"/>
      <c r="J26" s="24"/>
      <c r="K26" s="24"/>
      <c r="L26" s="24" t="s">
        <v>59</v>
      </c>
      <c r="M26" s="24" t="str">
        <f xml:space="preserve">IF(L26="未测试","",IF(L26="通过","PASS",IF(L26="失败","FAIL","待复测")))</f>
        <v/>
      </c>
      <c r="N26" s="16">
        <v>46313</v>
      </c>
      <c r="O26" s="14" t="s">
        <v>27</v>
      </c>
      <c r="P26" s="12" t="s">
        <v>155</v>
      </c>
    </row>
    <row r="27" ht="43" customHeight="1" spans="1:16">
      <c r="A27" s="12">
        <v>23</v>
      </c>
      <c r="B27" s="12">
        <v>23</v>
      </c>
      <c r="C27" s="12" t="s">
        <v>156</v>
      </c>
      <c r="D27" s="12" t="s">
        <v>157</v>
      </c>
      <c r="E27" s="12" t="s">
        <v>158</v>
      </c>
      <c r="F27" s="12" t="s">
        <v>159</v>
      </c>
      <c r="G27" s="12" t="s">
        <v>160</v>
      </c>
      <c r="H27" s="12" t="s">
        <v>161</v>
      </c>
      <c r="I27" s="13" t="s">
        <v>24</v>
      </c>
      <c r="J27" s="13" t="s">
        <v>24</v>
      </c>
      <c r="K27" s="13" t="s">
        <v>24</v>
      </c>
      <c r="L27" s="14" t="s">
        <v>25</v>
      </c>
      <c r="M27" s="15" t="s">
        <v>26</v>
      </c>
      <c r="N27" s="16">
        <v>46313</v>
      </c>
      <c r="O27" s="14" t="s">
        <v>27</v>
      </c>
      <c r="P27" s="12" t="s">
        <v>162</v>
      </c>
    </row>
    <row r="28" ht="43" customHeight="1" spans="1:16">
      <c r="A28" s="12">
        <v>24</v>
      </c>
      <c r="B28" s="12">
        <v>24</v>
      </c>
      <c r="C28" s="12" t="s">
        <v>163</v>
      </c>
      <c r="D28" s="12" t="s">
        <v>164</v>
      </c>
      <c r="E28" s="12" t="s">
        <v>158</v>
      </c>
      <c r="F28" s="12" t="s">
        <v>159</v>
      </c>
      <c r="G28" s="12" t="s">
        <v>165</v>
      </c>
      <c r="H28" s="12" t="s">
        <v>161</v>
      </c>
      <c r="I28" s="13" t="s">
        <v>24</v>
      </c>
      <c r="J28" s="13" t="s">
        <v>24</v>
      </c>
      <c r="K28" s="13" t="s">
        <v>24</v>
      </c>
      <c r="L28" s="14" t="s">
        <v>25</v>
      </c>
      <c r="M28" s="15" t="s">
        <v>26</v>
      </c>
      <c r="N28" s="16">
        <v>46313</v>
      </c>
      <c r="O28" s="14" t="s">
        <v>27</v>
      </c>
      <c r="P28" s="12" t="s">
        <v>162</v>
      </c>
    </row>
    <row r="29" ht="43" customHeight="1" spans="1:16">
      <c r="A29" s="23">
        <v>25</v>
      </c>
      <c r="B29" s="23">
        <v>25</v>
      </c>
      <c r="C29" s="23" t="s">
        <v>166</v>
      </c>
      <c r="D29" s="23" t="s">
        <v>167</v>
      </c>
      <c r="E29" s="23" t="s">
        <v>48</v>
      </c>
      <c r="F29" s="23" t="s">
        <v>49</v>
      </c>
      <c r="G29" s="23" t="s">
        <v>168</v>
      </c>
      <c r="H29" s="23" t="s">
        <v>169</v>
      </c>
      <c r="I29" s="24" t="s">
        <v>24</v>
      </c>
      <c r="J29" s="24" t="s">
        <v>24</v>
      </c>
      <c r="K29" s="24" t="s">
        <v>24</v>
      </c>
      <c r="L29" s="24" t="s">
        <v>59</v>
      </c>
      <c r="M29" s="24" t="str">
        <f xml:space="preserve">IF(L29="未测试","",IF(L29="通过","PASS",IF(L29="失败","FAIL","待复测")))</f>
        <v/>
      </c>
      <c r="N29" s="16">
        <v>46313</v>
      </c>
      <c r="O29" s="14" t="s">
        <v>27</v>
      </c>
      <c r="P29" s="12" t="s">
        <v>170</v>
      </c>
    </row>
    <row r="30" ht="43" customHeight="1" spans="1:16">
      <c r="A30" s="23">
        <v>26</v>
      </c>
      <c r="B30" s="23">
        <v>26</v>
      </c>
      <c r="C30" s="23" t="s">
        <v>171</v>
      </c>
      <c r="D30" s="23" t="s">
        <v>172</v>
      </c>
      <c r="E30" s="23" t="s">
        <v>48</v>
      </c>
      <c r="F30" s="23" t="s">
        <v>49</v>
      </c>
      <c r="G30" s="23" t="s">
        <v>173</v>
      </c>
      <c r="H30" s="23" t="s">
        <v>169</v>
      </c>
      <c r="I30" s="24" t="s">
        <v>24</v>
      </c>
      <c r="J30" s="24" t="s">
        <v>24</v>
      </c>
      <c r="K30" s="24" t="s">
        <v>24</v>
      </c>
      <c r="L30" s="24" t="s">
        <v>59</v>
      </c>
      <c r="M30" s="24" t="str">
        <f xml:space="preserve">IF(L30="未测试","",IF(L30="通过","PASS",IF(L30="失败","FAIL","待复测")))</f>
        <v/>
      </c>
      <c r="N30" s="16">
        <v>46313</v>
      </c>
      <c r="O30" s="14" t="s">
        <v>27</v>
      </c>
      <c r="P30" s="12" t="s">
        <v>170</v>
      </c>
    </row>
    <row r="31" ht="43" customHeight="1" spans="1:16">
      <c r="A31" s="12">
        <v>27</v>
      </c>
      <c r="B31" s="12">
        <v>27</v>
      </c>
      <c r="C31" s="12" t="s">
        <v>174</v>
      </c>
      <c r="D31" s="12" t="s">
        <v>175</v>
      </c>
      <c r="E31" s="12" t="s">
        <v>48</v>
      </c>
      <c r="F31" s="12" t="s">
        <v>49</v>
      </c>
      <c r="G31" s="12" t="s">
        <v>176</v>
      </c>
      <c r="H31" s="12" t="s">
        <v>177</v>
      </c>
      <c r="I31" s="13"/>
      <c r="J31" s="13"/>
      <c r="K31" s="13"/>
      <c r="L31" s="14" t="s">
        <v>25</v>
      </c>
      <c r="M31" s="15" t="s">
        <v>26</v>
      </c>
      <c r="N31" s="16">
        <v>46313</v>
      </c>
      <c r="O31" s="14" t="s">
        <v>27</v>
      </c>
      <c r="P31" s="12" t="s">
        <v>178</v>
      </c>
    </row>
    <row r="32" ht="43" customHeight="1" spans="1:16">
      <c r="A32" s="12">
        <v>28</v>
      </c>
      <c r="B32" s="12">
        <v>28</v>
      </c>
      <c r="C32" s="12" t="s">
        <v>179</v>
      </c>
      <c r="D32" s="12" t="s">
        <v>180</v>
      </c>
      <c r="E32" s="12" t="s">
        <v>48</v>
      </c>
      <c r="F32" s="12" t="s">
        <v>49</v>
      </c>
      <c r="G32" s="12" t="s">
        <v>181</v>
      </c>
      <c r="H32" s="12" t="s">
        <v>177</v>
      </c>
      <c r="I32" s="13"/>
      <c r="J32" s="13"/>
      <c r="K32" s="13"/>
      <c r="L32" s="14" t="s">
        <v>25</v>
      </c>
      <c r="M32" s="15" t="s">
        <v>26</v>
      </c>
      <c r="N32" s="16">
        <v>46313</v>
      </c>
      <c r="O32" s="14" t="s">
        <v>27</v>
      </c>
      <c r="P32" s="12" t="s">
        <v>182</v>
      </c>
    </row>
    <row r="33" ht="43" customHeight="1" spans="1:16">
      <c r="A33" s="12">
        <v>29</v>
      </c>
      <c r="B33" s="12">
        <v>29</v>
      </c>
      <c r="C33" s="12" t="s">
        <v>183</v>
      </c>
      <c r="D33" s="12" t="s">
        <v>75</v>
      </c>
      <c r="E33" s="12" t="s">
        <v>184</v>
      </c>
      <c r="F33" s="12" t="s">
        <v>75</v>
      </c>
      <c r="G33" s="12" t="s">
        <v>185</v>
      </c>
      <c r="H33" s="12" t="s">
        <v>186</v>
      </c>
      <c r="I33" s="13"/>
      <c r="J33" s="13"/>
      <c r="K33" s="13"/>
      <c r="L33" s="14" t="s">
        <v>25</v>
      </c>
      <c r="M33" s="15" t="s">
        <v>187</v>
      </c>
      <c r="N33" s="16">
        <v>46313</v>
      </c>
      <c r="O33" s="14" t="s">
        <v>27</v>
      </c>
      <c r="P33" s="12" t="s">
        <v>188</v>
      </c>
    </row>
    <row r="34" ht="43" customHeight="1" spans="1:16">
      <c r="A34" s="12">
        <v>30</v>
      </c>
      <c r="B34" s="12">
        <v>30</v>
      </c>
      <c r="C34" s="12" t="s">
        <v>189</v>
      </c>
      <c r="D34" s="12" t="s">
        <v>190</v>
      </c>
      <c r="E34" s="12" t="s">
        <v>191</v>
      </c>
      <c r="F34" s="12" t="s">
        <v>192</v>
      </c>
      <c r="G34" s="12" t="s">
        <v>193</v>
      </c>
      <c r="H34" s="12" t="s">
        <v>194</v>
      </c>
      <c r="I34" s="13"/>
      <c r="J34" s="13"/>
      <c r="K34" s="13"/>
      <c r="L34" s="14" t="s">
        <v>25</v>
      </c>
      <c r="M34" s="15" t="s">
        <v>26</v>
      </c>
      <c r="N34" s="16">
        <v>46313</v>
      </c>
      <c r="O34" s="14" t="s">
        <v>27</v>
      </c>
      <c r="P34" s="12" t="s">
        <v>35</v>
      </c>
    </row>
    <row r="35" ht="43" customHeight="1" spans="1:16">
      <c r="A35" s="12">
        <v>31</v>
      </c>
      <c r="B35" s="12">
        <v>31</v>
      </c>
      <c r="C35" s="12" t="s">
        <v>195</v>
      </c>
      <c r="D35" s="12" t="s">
        <v>195</v>
      </c>
      <c r="E35" s="12" t="s">
        <v>196</v>
      </c>
      <c r="F35" s="12" t="s">
        <v>197</v>
      </c>
      <c r="G35" s="12" t="s">
        <v>198</v>
      </c>
      <c r="H35" s="12" t="s">
        <v>199</v>
      </c>
      <c r="I35" s="13"/>
      <c r="J35" s="13"/>
      <c r="K35" s="13"/>
      <c r="L35" s="14" t="s">
        <v>25</v>
      </c>
      <c r="M35" s="15" t="s">
        <v>26</v>
      </c>
      <c r="N35" s="16">
        <v>46313</v>
      </c>
      <c r="O35" s="14" t="s">
        <v>27</v>
      </c>
      <c r="P35" s="12" t="s">
        <v>200</v>
      </c>
    </row>
    <row r="36" ht="43" customHeight="1" spans="1:16">
      <c r="A36" s="12">
        <v>32</v>
      </c>
      <c r="B36" s="12">
        <v>32</v>
      </c>
      <c r="C36" s="12" t="s">
        <v>201</v>
      </c>
      <c r="D36" s="12" t="s">
        <v>202</v>
      </c>
      <c r="E36" s="12" t="s">
        <v>48</v>
      </c>
      <c r="F36" s="12" t="s">
        <v>203</v>
      </c>
      <c r="G36" s="12" t="s">
        <v>204</v>
      </c>
      <c r="H36" s="17" t="s">
        <v>205</v>
      </c>
      <c r="I36" s="13"/>
      <c r="J36" s="13"/>
      <c r="K36" s="13"/>
      <c r="L36" s="14" t="s">
        <v>25</v>
      </c>
      <c r="M36" s="15" t="s">
        <v>26</v>
      </c>
      <c r="N36" s="16">
        <v>46313</v>
      </c>
      <c r="O36" s="14" t="s">
        <v>27</v>
      </c>
      <c r="P36" s="12" t="s">
        <v>206</v>
      </c>
    </row>
  </sheetData>
  <mergeCells count="2">
    <mergeCell ref="A1:P1"/>
    <mergeCell ref="A2:P2"/>
  </mergeCells>
  <conditionalFormatting sqref="M12">
    <cfRule type="expression" dxfId="0" priority="12">
      <formula>M12="FAIL"</formula>
    </cfRule>
    <cfRule type="expression" dxfId="1" priority="11">
      <formula>M12="PASS"</formula>
    </cfRule>
  </conditionalFormatting>
  <conditionalFormatting sqref="M13">
    <cfRule type="expression" dxfId="0" priority="2">
      <formula>M13="FAIL"</formula>
    </cfRule>
    <cfRule type="expression" dxfId="1" priority="1">
      <formula>M13="PASS"</formula>
    </cfRule>
  </conditionalFormatting>
  <conditionalFormatting sqref="M19">
    <cfRule type="expression" dxfId="0" priority="6">
      <formula>M19="FAIL"</formula>
    </cfRule>
    <cfRule type="expression" dxfId="1" priority="5">
      <formula>M19="PASS"</formula>
    </cfRule>
  </conditionalFormatting>
  <conditionalFormatting sqref="M21">
    <cfRule type="expression" dxfId="0" priority="10">
      <formula>M21="FAIL"</formula>
    </cfRule>
    <cfRule type="expression" dxfId="1" priority="9">
      <formula>M21="PASS"</formula>
    </cfRule>
  </conditionalFormatting>
  <conditionalFormatting sqref="M23">
    <cfRule type="expression" dxfId="0" priority="20">
      <formula>M23="FAIL"</formula>
    </cfRule>
    <cfRule type="expression" dxfId="1" priority="19">
      <formula>M23="PASS"</formula>
    </cfRule>
  </conditionalFormatting>
  <conditionalFormatting sqref="M24">
    <cfRule type="expression" dxfId="0" priority="4">
      <formula>M24="FAIL"</formula>
    </cfRule>
    <cfRule type="expression" dxfId="1" priority="3">
      <formula>M24="PASS"</formula>
    </cfRule>
  </conditionalFormatting>
  <conditionalFormatting sqref="M31">
    <cfRule type="expression" dxfId="0" priority="16">
      <formula>M31="FAIL"</formula>
    </cfRule>
    <cfRule type="expression" dxfId="1" priority="14">
      <formula>M31="PASS"</formula>
    </cfRule>
  </conditionalFormatting>
  <conditionalFormatting sqref="M32">
    <cfRule type="expression" dxfId="0" priority="15">
      <formula>M32="FAIL"</formula>
    </cfRule>
    <cfRule type="expression" dxfId="1" priority="13">
      <formula>M32="PASS"</formula>
    </cfRule>
  </conditionalFormatting>
  <conditionalFormatting sqref="M34">
    <cfRule type="expression" dxfId="0" priority="18">
      <formula>M34="FAIL"</formula>
    </cfRule>
    <cfRule type="expression" dxfId="1" priority="17">
      <formula>M34="PASS"</formula>
    </cfRule>
  </conditionalFormatting>
  <conditionalFormatting sqref="M36">
    <cfRule type="expression" dxfId="0" priority="8">
      <formula>M36="FAIL"</formula>
    </cfRule>
    <cfRule type="expression" dxfId="1" priority="7">
      <formula>M36="PASS"</formula>
    </cfRule>
  </conditionalFormatting>
  <conditionalFormatting sqref="M5:M11 M14:M18 M20 M22 M25:M30 M33 M35">
    <cfRule type="expression" dxfId="1" priority="21">
      <formula>M5="PASS"</formula>
    </cfRule>
    <cfRule type="expression" dxfId="0" priority="22">
      <formula>M5="FAIL"</formula>
    </cfRule>
  </conditionalFormatting>
  <dataValidations count="1">
    <dataValidation type="list" sqref="L13 L5:L12 L14:L36">
      <formula1>"未测试,通过,失败,待复测,不适用"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:F1"/>
    </sheetView>
  </sheetViews>
  <sheetFormatPr defaultColWidth="9" defaultRowHeight="14.25" outlineLevelCol="5"/>
  <cols>
    <col min="1" max="1" width="23" customWidth="1"/>
    <col min="2" max="2" width="90" customWidth="1"/>
  </cols>
  <sheetData>
    <row r="1" ht="38" customHeight="1" spans="1:6">
      <c r="A1" s="1" t="s">
        <v>207</v>
      </c>
      <c r="B1" s="1"/>
      <c r="C1" s="1"/>
      <c r="D1" s="1"/>
      <c r="E1" s="1"/>
      <c r="F1" s="1"/>
    </row>
    <row r="3" ht="15" spans="1:6">
      <c r="A3" s="2" t="s">
        <v>208</v>
      </c>
      <c r="B3" s="2" t="s">
        <v>209</v>
      </c>
    </row>
    <row r="4" spans="1:6">
      <c r="A4" t="s">
        <v>210</v>
      </c>
      <c r="B4">
        <f xml:space="preserve">COUNTA(IO测试记录!B5:B36)</f>
        <v>32</v>
      </c>
    </row>
    <row r="5" spans="1:6">
      <c r="A5" t="s">
        <v>211</v>
      </c>
      <c r="B5">
        <f xml:space="preserve">COUNTIF(IO测试记录!L5:L36,"通过")</f>
        <v>0</v>
      </c>
    </row>
    <row r="6" spans="1:6">
      <c r="A6" t="s">
        <v>212</v>
      </c>
      <c r="B6">
        <f xml:space="preserve">COUNTIF(IO测试记录!L5:L36,"失败")</f>
        <v>0</v>
      </c>
    </row>
    <row r="7" spans="1:6">
      <c r="A7" t="s">
        <v>213</v>
      </c>
      <c r="B7">
        <f xml:space="preserve">COUNTIF(IO测试记录!L5:L36,"待复测")</f>
        <v>0</v>
      </c>
    </row>
    <row r="8" spans="1:6">
      <c r="A8" t="s">
        <v>59</v>
      </c>
      <c r="B8">
        <f xml:space="preserve">COUNTIF(IO测试记录!L5:L36,"未测试")</f>
        <v>8</v>
      </c>
    </row>
    <row r="9" spans="1:6">
      <c r="A9" t="s">
        <v>214</v>
      </c>
      <c r="B9">
        <f xml:space="preserve">COUNTIF(IO测试记录!L5:L36,"不适用")</f>
        <v>0</v>
      </c>
    </row>
    <row r="10" spans="1:6">
      <c r="A10" t="s">
        <v>215</v>
      </c>
      <c r="B10" s="3">
        <f xml:space="preserve">IFERROR((B5+B9)/B4,0)</f>
        <v>0</v>
      </c>
    </row>
    <row r="13" ht="15" spans="1:6">
      <c r="A13" s="2" t="s">
        <v>208</v>
      </c>
      <c r="B13" s="2" t="s">
        <v>216</v>
      </c>
    </row>
    <row r="14" ht="49" customHeight="1" spans="1:6">
      <c r="A14" s="4" t="s">
        <v>217</v>
      </c>
      <c r="B14" s="4" t="s">
        <v>218</v>
      </c>
    </row>
    <row r="15" ht="49" customHeight="1" spans="1:6">
      <c r="A15" s="4" t="s">
        <v>219</v>
      </c>
      <c r="B15" s="4" t="s">
        <v>220</v>
      </c>
    </row>
    <row r="16" ht="49" customHeight="1" spans="1:6">
      <c r="A16" s="4" t="s">
        <v>221</v>
      </c>
      <c r="B16" s="4" t="s">
        <v>222</v>
      </c>
    </row>
    <row r="17" ht="49" customHeight="1" spans="1:2">
      <c r="A17" s="4" t="s">
        <v>223</v>
      </c>
      <c r="B17" s="4" t="s">
        <v>224</v>
      </c>
    </row>
    <row r="18" ht="49" customHeight="1" spans="1:2">
      <c r="A18" s="4" t="s">
        <v>225</v>
      </c>
      <c r="B18" s="4" t="s">
        <v>226</v>
      </c>
    </row>
    <row r="19" ht="49" customHeight="1" spans="1:2">
      <c r="A19" s="4" t="s">
        <v>227</v>
      </c>
      <c r="B19" s="4" t="s">
        <v>228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IO测试记录</vt:lpstr>
      <vt:lpstr>测试说明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PathFinder</cp:lastModifiedBy>
  <dcterms:created xsi:type="dcterms:W3CDTF">2026-10-18T13:30:00Z</dcterms:created>
  <dcterms:modified xsi:type="dcterms:W3CDTF">2026-10-18T16:17:12Z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FC7A86A5D8E94D75B6214000FA2AEFC7_12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